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O-INFORMATIQUE\Downloads\"/>
    </mc:Choice>
  </mc:AlternateContent>
  <workbookProtection workbookAlgorithmName="SHA-512" workbookHashValue="Rpo13qP5e385dtR9KF1HvI9QfcaTNalPzMoH1nXbXjVipr4IBKXRjC/U2a9YPO6RnbxjG3Ba6zn0couMamG78Q==" workbookSaltValue="UjEPNEZGlW3518dcH76x4w==" workbookSpinCount="100000" lockStructure="1"/>
  <bookViews>
    <workbookView xWindow="0" yWindow="0" windowWidth="25200" windowHeight="11985" activeTab="1"/>
  </bookViews>
  <sheets>
    <sheet name="2024" sheetId="1" r:id="rId1"/>
    <sheet name="2025" sheetId="2" r:id="rId2"/>
  </sheets>
  <definedNames>
    <definedName name="_xlnm.Print_Area" localSheetId="1">'2025'!$A$1:$Q$32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" l="1"/>
  <c r="G28" i="2"/>
  <c r="H28" i="2"/>
  <c r="I28" i="2"/>
  <c r="J28" i="2"/>
  <c r="K28" i="2"/>
  <c r="L28" i="2"/>
  <c r="M28" i="2"/>
  <c r="N28" i="2"/>
  <c r="O28" i="2"/>
  <c r="P28" i="2"/>
  <c r="E2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8" i="2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E28" i="1"/>
  <c r="F28" i="1"/>
  <c r="D28" i="1"/>
  <c r="G8" i="1"/>
  <c r="Q28" i="2" l="1"/>
  <c r="G31" i="2" s="1"/>
  <c r="G28" i="1"/>
</calcChain>
</file>

<file path=xl/sharedStrings.xml><?xml version="1.0" encoding="utf-8"?>
<sst xmlns="http://schemas.openxmlformats.org/spreadsheetml/2006/main" count="112" uniqueCount="60">
  <si>
    <t>LES PROFESSIONNELS DE L'ECOLE</t>
  </si>
  <si>
    <t>COTISATIONS</t>
  </si>
  <si>
    <t>N°</t>
  </si>
  <si>
    <t>NOMS</t>
  </si>
  <si>
    <t>PRENOMS</t>
  </si>
  <si>
    <t>OCTOBRE</t>
  </si>
  <si>
    <t>NOVEMBRE</t>
  </si>
  <si>
    <t>DECEMBRE</t>
  </si>
  <si>
    <t>KOUA</t>
  </si>
  <si>
    <t>ANON</t>
  </si>
  <si>
    <t>N'GORAN</t>
  </si>
  <si>
    <t>AMANY</t>
  </si>
  <si>
    <t xml:space="preserve">KOUASSI </t>
  </si>
  <si>
    <t>BERTRAND</t>
  </si>
  <si>
    <t xml:space="preserve">ASSEMIEN </t>
  </si>
  <si>
    <t>GEOFFROY</t>
  </si>
  <si>
    <t>GNAHOURE</t>
  </si>
  <si>
    <t>ABEA SERGE PACOME</t>
  </si>
  <si>
    <t xml:space="preserve">ADOGO </t>
  </si>
  <si>
    <t>FRANCIS</t>
  </si>
  <si>
    <t>KOUO</t>
  </si>
  <si>
    <t>HERVE</t>
  </si>
  <si>
    <t>HOUNGBO</t>
  </si>
  <si>
    <t>MARIANO</t>
  </si>
  <si>
    <t>YEO</t>
  </si>
  <si>
    <t>GISELE</t>
  </si>
  <si>
    <t xml:space="preserve">COULIBALY </t>
  </si>
  <si>
    <t>DESIRE</t>
  </si>
  <si>
    <t>DOMON MATHIEU</t>
  </si>
  <si>
    <t>FOUNGNIGUE MATHURIN</t>
  </si>
  <si>
    <t>BAKARY</t>
  </si>
  <si>
    <t>DAO</t>
  </si>
  <si>
    <t>SILUE</t>
  </si>
  <si>
    <t>SOFOUNGOGNON</t>
  </si>
  <si>
    <t>OUATTARA</t>
  </si>
  <si>
    <t>FOFANA ADAMA</t>
  </si>
  <si>
    <t>N'GUESSAN</t>
  </si>
  <si>
    <t>BRIGITTE</t>
  </si>
  <si>
    <t>GNENESSEMIN</t>
  </si>
  <si>
    <t>YVES</t>
  </si>
  <si>
    <t xml:space="preserve">KOUADIO </t>
  </si>
  <si>
    <t>ETIENNE</t>
  </si>
  <si>
    <t>KOFFI CHARLES</t>
  </si>
  <si>
    <t>ATSE</t>
  </si>
  <si>
    <t>GERARD</t>
  </si>
  <si>
    <t>TOTAL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</si>
  <si>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</si>
  <si>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</si>
  <si>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</si>
  <si>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</si>
  <si>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</si>
  <si>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</si>
  <si>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</si>
  <si>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</si>
  <si>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</si>
  <si>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DÉCEMBRE</t>
  </si>
  <si>
    <t>POINT 2024</t>
  </si>
  <si>
    <t>CUMUL</t>
  </si>
  <si>
    <t>FOFAGA ADAMA</t>
  </si>
  <si>
    <t xml:space="preserve">RETARD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</si>
</sst>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C_F_A_-;\-* #,##0\ _C_F_A_-;_-* &quot;-&quot;\ _C_F_A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 Black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sz val="18"/>
      <color theme="1"/>
      <name val="Arial Black"/>
      <family val="2"/>
    </font>
    <font>
      <sz val="20"/>
      <color theme="1"/>
      <name val="Arial Black"/>
      <family val="2"/>
    </font>
    <font>
      <b/>
      <sz val="22"/>
      <color theme="1"/>
      <name val="Arial"/>
      <family val="2"/>
    </font>
    <font>
      <b/>
      <sz val="11"/>
      <color theme="1"/>
      <name val="Arial Black"/>
      <family val="2"/>
    </font>
    <font>
      <b/>
      <sz val="12"/>
      <color theme="1"/>
      <name val="Arial Black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3" fillId="0" borderId="0" xfId="0" applyFont="1"/>
    <xf numFmtId="0" fontId="3" fillId="0" borderId="6" xfId="0" applyFont="1" applyBorder="1"/>
    <xf numFmtId="0" fontId="2" fillId="0" borderId="6" xfId="0" applyFont="1" applyBorder="1"/>
    <xf numFmtId="0" fontId="7" fillId="0" borderId="0" xfId="0" applyFon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/>
    <xf numFmtId="41" fontId="4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/>
    <xf numFmtId="0" fontId="12" fillId="0" borderId="1" xfId="0" applyFont="1" applyBorder="1"/>
    <xf numFmtId="41" fontId="12" fillId="0" borderId="1" xfId="1" applyFont="1" applyBorder="1"/>
    <xf numFmtId="41" fontId="2" fillId="0" borderId="3" xfId="1" applyFont="1" applyBorder="1" applyAlignment="1">
      <alignment horizontal="center" vertical="center"/>
    </xf>
    <xf numFmtId="41" fontId="3" fillId="0" borderId="0" xfId="1" applyFont="1" applyBorder="1" applyAlignment="1"/>
    <xf numFmtId="41" fontId="2" fillId="0" borderId="0" xfId="1" applyFont="1" applyBorder="1" applyAlignment="1">
      <alignment horizontal="center" vertical="center"/>
    </xf>
    <xf numFmtId="41" fontId="7" fillId="0" borderId="0" xfId="1" applyFont="1" applyBorder="1" applyAlignment="1">
      <alignment vertical="center"/>
    </xf>
    <xf numFmtId="41" fontId="5" fillId="0" borderId="1" xfId="1" applyFont="1" applyBorder="1" applyAlignment="1">
      <alignment horizontal="center" vertical="center"/>
    </xf>
    <xf numFmtId="41" fontId="2" fillId="0" borderId="9" xfId="1" applyFont="1" applyBorder="1" applyAlignment="1">
      <alignment horizontal="center" vertical="center"/>
    </xf>
    <xf numFmtId="41" fontId="0" fillId="0" borderId="0" xfId="1" applyFont="1"/>
    <xf numFmtId="0" fontId="14" fillId="0" borderId="1" xfId="0" applyFont="1" applyBorder="1" applyAlignment="1">
      <alignment horizontal="center" vertical="center"/>
    </xf>
    <xf numFmtId="41" fontId="14" fillId="0" borderId="1" xfId="1" applyFont="1" applyBorder="1"/>
    <xf numFmtId="0" fontId="14" fillId="0" borderId="6" xfId="0" applyFont="1" applyBorder="1"/>
    <xf numFmtId="0" fontId="13" fillId="0" borderId="0" xfId="0" applyFont="1"/>
    <xf numFmtId="0" fontId="15" fillId="0" borderId="1" xfId="0" applyFont="1" applyBorder="1"/>
    <xf numFmtId="41" fontId="15" fillId="0" borderId="1" xfId="1" applyFont="1" applyBorder="1" applyAlignment="1">
      <alignment horizontal="center" vertical="center"/>
    </xf>
    <xf numFmtId="0" fontId="2" fillId="2" borderId="7" xfId="0" applyFont="1" applyFill="1" applyBorder="1"/>
    <xf numFmtId="0" fontId="15" fillId="2" borderId="7" xfId="0" applyFont="1" applyFill="1" applyBorder="1"/>
    <xf numFmtId="41" fontId="2" fillId="2" borderId="1" xfId="1" applyFont="1" applyFill="1" applyBorder="1" applyAlignment="1">
      <alignment horizontal="center" vertical="center"/>
    </xf>
    <xf numFmtId="41" fontId="15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2" fillId="4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1" fontId="2" fillId="5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1" fontId="12" fillId="0" borderId="0" xfId="1" applyFont="1" applyBorder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1" fontId="9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4" workbookViewId="0">
      <selection activeCell="H28" sqref="A4:H28"/>
    </sheetView>
  </sheetViews>
  <sheetFormatPr baseColWidth="10" defaultRowHeight="14.25" x14ac:dyDescent="0.2"/>
  <cols>
    <col min="1" max="1" width="4" style="1" customWidth="1"/>
    <col min="2" max="2" width="17.5703125" style="1" customWidth="1"/>
    <col min="3" max="3" width="25.28515625" style="1" customWidth="1"/>
    <col min="4" max="5" width="15.85546875" style="2" customWidth="1"/>
    <col min="6" max="6" width="17.28515625" style="2" customWidth="1"/>
    <col min="7" max="7" width="18.7109375" style="1" customWidth="1"/>
    <col min="8" max="16384" width="11.42578125" style="1"/>
  </cols>
  <sheetData>
    <row r="1" spans="1:8" x14ac:dyDescent="0.2">
      <c r="A1" s="8"/>
      <c r="B1" s="9"/>
      <c r="C1" s="9"/>
      <c r="D1" s="10"/>
      <c r="E1" s="10"/>
      <c r="F1" s="10"/>
      <c r="G1" s="9"/>
      <c r="H1" s="11"/>
    </row>
    <row r="2" spans="1:8" ht="14.25" customHeight="1" x14ac:dyDescent="0.45">
      <c r="A2" s="12"/>
      <c r="B2" s="54" t="s">
        <v>0</v>
      </c>
      <c r="C2" s="54"/>
      <c r="D2" s="54"/>
      <c r="E2" s="54"/>
      <c r="F2" s="13"/>
      <c r="G2" s="13"/>
      <c r="H2" s="14"/>
    </row>
    <row r="3" spans="1:8" ht="14.25" customHeight="1" x14ac:dyDescent="0.45">
      <c r="A3" s="12"/>
      <c r="B3" s="54"/>
      <c r="C3" s="54"/>
      <c r="D3" s="54"/>
      <c r="E3" s="54"/>
      <c r="F3" s="13"/>
      <c r="G3" s="13"/>
      <c r="H3" s="14"/>
    </row>
    <row r="4" spans="1:8" x14ac:dyDescent="0.2">
      <c r="A4" s="12"/>
      <c r="H4" s="15"/>
    </row>
    <row r="5" spans="1:8" ht="27.75" x14ac:dyDescent="0.2">
      <c r="A5" s="12"/>
      <c r="C5" s="55" t="s">
        <v>1</v>
      </c>
      <c r="D5" s="55"/>
      <c r="E5" s="16"/>
      <c r="F5" s="16"/>
      <c r="G5" s="16"/>
      <c r="H5" s="15"/>
    </row>
    <row r="6" spans="1:8" x14ac:dyDescent="0.2">
      <c r="A6" s="12"/>
      <c r="H6" s="15"/>
    </row>
    <row r="7" spans="1:8" s="3" customFormat="1" ht="15.75" x14ac:dyDescent="0.25">
      <c r="A7" s="17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45</v>
      </c>
      <c r="H7" s="18"/>
    </row>
    <row r="8" spans="1:8" x14ac:dyDescent="0.2">
      <c r="A8" s="19">
        <v>1</v>
      </c>
      <c r="B8" s="5" t="s">
        <v>18</v>
      </c>
      <c r="C8" s="5" t="s">
        <v>19</v>
      </c>
      <c r="D8" s="25">
        <v>25000</v>
      </c>
      <c r="E8" s="25">
        <v>25000</v>
      </c>
      <c r="F8" s="25">
        <v>25000</v>
      </c>
      <c r="G8" s="26">
        <f>D8+E8+F8</f>
        <v>75000</v>
      </c>
      <c r="H8" s="15"/>
    </row>
    <row r="9" spans="1:8" x14ac:dyDescent="0.2">
      <c r="A9" s="19">
        <v>2</v>
      </c>
      <c r="B9" s="5" t="s">
        <v>14</v>
      </c>
      <c r="C9" s="5" t="s">
        <v>15</v>
      </c>
      <c r="D9" s="25">
        <v>25000</v>
      </c>
      <c r="E9" s="25">
        <v>25000</v>
      </c>
      <c r="F9" s="25">
        <v>25000</v>
      </c>
      <c r="G9" s="26">
        <f t="shared" ref="G9:G27" si="0">D9+E9+F9</f>
        <v>75000</v>
      </c>
      <c r="H9" s="15"/>
    </row>
    <row r="10" spans="1:8" x14ac:dyDescent="0.2">
      <c r="A10" s="19">
        <v>3</v>
      </c>
      <c r="B10" s="5" t="s">
        <v>43</v>
      </c>
      <c r="C10" s="5" t="s">
        <v>44</v>
      </c>
      <c r="D10" s="25">
        <v>25000</v>
      </c>
      <c r="E10" s="25">
        <v>25000</v>
      </c>
      <c r="F10" s="25">
        <v>25000</v>
      </c>
      <c r="G10" s="26">
        <f t="shared" si="0"/>
        <v>75000</v>
      </c>
      <c r="H10" s="15"/>
    </row>
    <row r="11" spans="1:8" x14ac:dyDescent="0.2">
      <c r="A11" s="19">
        <v>4</v>
      </c>
      <c r="B11" s="5" t="s">
        <v>30</v>
      </c>
      <c r="C11" s="5" t="s">
        <v>31</v>
      </c>
      <c r="D11" s="25">
        <v>25000</v>
      </c>
      <c r="E11" s="25">
        <v>25000</v>
      </c>
      <c r="F11" s="25">
        <v>25000</v>
      </c>
      <c r="G11" s="26">
        <f t="shared" si="0"/>
        <v>75000</v>
      </c>
      <c r="H11" s="15"/>
    </row>
    <row r="12" spans="1:8" x14ac:dyDescent="0.2">
      <c r="A12" s="19">
        <v>5</v>
      </c>
      <c r="B12" s="5" t="s">
        <v>26</v>
      </c>
      <c r="C12" s="5" t="s">
        <v>27</v>
      </c>
      <c r="D12" s="25">
        <v>25000</v>
      </c>
      <c r="E12" s="25">
        <v>25000</v>
      </c>
      <c r="F12" s="25">
        <v>25000</v>
      </c>
      <c r="G12" s="26">
        <f t="shared" si="0"/>
        <v>75000</v>
      </c>
      <c r="H12" s="15"/>
    </row>
    <row r="13" spans="1:8" x14ac:dyDescent="0.2">
      <c r="A13" s="19">
        <v>6</v>
      </c>
      <c r="B13" s="5" t="s">
        <v>16</v>
      </c>
      <c r="C13" s="5" t="s">
        <v>17</v>
      </c>
      <c r="D13" s="25">
        <v>25000</v>
      </c>
      <c r="E13" s="25">
        <v>25000</v>
      </c>
      <c r="F13" s="25">
        <v>25000</v>
      </c>
      <c r="G13" s="26">
        <f t="shared" si="0"/>
        <v>75000</v>
      </c>
      <c r="H13" s="15"/>
    </row>
    <row r="14" spans="1:8" x14ac:dyDescent="0.2">
      <c r="A14" s="19">
        <v>7</v>
      </c>
      <c r="B14" s="5" t="s">
        <v>38</v>
      </c>
      <c r="C14" s="5" t="s">
        <v>39</v>
      </c>
      <c r="D14" s="25">
        <v>25000</v>
      </c>
      <c r="E14" s="25">
        <v>25000</v>
      </c>
      <c r="F14" s="25">
        <v>25000</v>
      </c>
      <c r="G14" s="26">
        <f t="shared" si="0"/>
        <v>75000</v>
      </c>
      <c r="H14" s="15"/>
    </row>
    <row r="15" spans="1:8" x14ac:dyDescent="0.2">
      <c r="A15" s="19">
        <v>8</v>
      </c>
      <c r="B15" s="5" t="s">
        <v>22</v>
      </c>
      <c r="C15" s="5" t="s">
        <v>23</v>
      </c>
      <c r="D15" s="25">
        <v>25000</v>
      </c>
      <c r="E15" s="25">
        <v>25000</v>
      </c>
      <c r="F15" s="25">
        <v>25000</v>
      </c>
      <c r="G15" s="26">
        <f t="shared" si="0"/>
        <v>75000</v>
      </c>
      <c r="H15" s="15"/>
    </row>
    <row r="16" spans="1:8" x14ac:dyDescent="0.2">
      <c r="A16" s="19">
        <v>9</v>
      </c>
      <c r="B16" s="5" t="s">
        <v>8</v>
      </c>
      <c r="C16" s="5" t="s">
        <v>9</v>
      </c>
      <c r="D16" s="25">
        <v>25000</v>
      </c>
      <c r="E16" s="25">
        <v>25000</v>
      </c>
      <c r="F16" s="25">
        <v>25000</v>
      </c>
      <c r="G16" s="26">
        <f t="shared" si="0"/>
        <v>75000</v>
      </c>
      <c r="H16" s="15"/>
    </row>
    <row r="17" spans="1:8" x14ac:dyDescent="0.2">
      <c r="A17" s="19">
        <v>10</v>
      </c>
      <c r="B17" s="5" t="s">
        <v>40</v>
      </c>
      <c r="C17" s="5" t="s">
        <v>41</v>
      </c>
      <c r="D17" s="25">
        <v>25000</v>
      </c>
      <c r="E17" s="25">
        <v>25000</v>
      </c>
      <c r="F17" s="25">
        <v>25000</v>
      </c>
      <c r="G17" s="26">
        <f t="shared" si="0"/>
        <v>75000</v>
      </c>
      <c r="H17" s="15"/>
    </row>
    <row r="18" spans="1:8" x14ac:dyDescent="0.2">
      <c r="A18" s="19">
        <v>11</v>
      </c>
      <c r="B18" s="5" t="s">
        <v>12</v>
      </c>
      <c r="C18" s="5" t="s">
        <v>13</v>
      </c>
      <c r="D18" s="25">
        <v>25000</v>
      </c>
      <c r="E18" s="25">
        <v>25000</v>
      </c>
      <c r="F18" s="25">
        <v>25000</v>
      </c>
      <c r="G18" s="26">
        <f t="shared" si="0"/>
        <v>75000</v>
      </c>
      <c r="H18" s="15"/>
    </row>
    <row r="19" spans="1:8" x14ac:dyDescent="0.2">
      <c r="A19" s="19">
        <v>12</v>
      </c>
      <c r="B19" s="5" t="s">
        <v>20</v>
      </c>
      <c r="C19" s="5" t="s">
        <v>21</v>
      </c>
      <c r="D19" s="25">
        <v>25000</v>
      </c>
      <c r="E19" s="25">
        <v>25000</v>
      </c>
      <c r="F19" s="25">
        <v>25000</v>
      </c>
      <c r="G19" s="26">
        <f t="shared" si="0"/>
        <v>75000</v>
      </c>
      <c r="H19" s="15"/>
    </row>
    <row r="20" spans="1:8" x14ac:dyDescent="0.2">
      <c r="A20" s="19">
        <v>13</v>
      </c>
      <c r="B20" s="5" t="s">
        <v>10</v>
      </c>
      <c r="C20" s="5" t="s">
        <v>11</v>
      </c>
      <c r="D20" s="25">
        <v>25000</v>
      </c>
      <c r="E20" s="25">
        <v>25000</v>
      </c>
      <c r="F20" s="25">
        <v>25000</v>
      </c>
      <c r="G20" s="26">
        <f t="shared" si="0"/>
        <v>75000</v>
      </c>
      <c r="H20" s="15"/>
    </row>
    <row r="21" spans="1:8" x14ac:dyDescent="0.2">
      <c r="A21" s="19">
        <v>14</v>
      </c>
      <c r="B21" s="5" t="s">
        <v>10</v>
      </c>
      <c r="C21" s="5" t="s">
        <v>42</v>
      </c>
      <c r="D21" s="25">
        <v>25000</v>
      </c>
      <c r="E21" s="25">
        <v>25000</v>
      </c>
      <c r="F21" s="25">
        <v>25000</v>
      </c>
      <c r="G21" s="26">
        <f t="shared" si="0"/>
        <v>75000</v>
      </c>
      <c r="H21" s="15"/>
    </row>
    <row r="22" spans="1:8" x14ac:dyDescent="0.2">
      <c r="A22" s="19">
        <v>15</v>
      </c>
      <c r="B22" s="5" t="s">
        <v>36</v>
      </c>
      <c r="C22" s="5" t="s">
        <v>37</v>
      </c>
      <c r="D22" s="25">
        <v>25000</v>
      </c>
      <c r="E22" s="25">
        <v>25000</v>
      </c>
      <c r="F22" s="25">
        <v>25000</v>
      </c>
      <c r="G22" s="26">
        <f t="shared" si="0"/>
        <v>75000</v>
      </c>
      <c r="H22" s="15"/>
    </row>
    <row r="23" spans="1:8" x14ac:dyDescent="0.2">
      <c r="A23" s="19">
        <v>16</v>
      </c>
      <c r="B23" s="5" t="s">
        <v>34</v>
      </c>
      <c r="C23" s="5" t="s">
        <v>35</v>
      </c>
      <c r="D23" s="25">
        <v>25000</v>
      </c>
      <c r="E23" s="25">
        <v>25000</v>
      </c>
      <c r="F23" s="25">
        <v>25000</v>
      </c>
      <c r="G23" s="26">
        <f t="shared" si="0"/>
        <v>75000</v>
      </c>
      <c r="H23" s="15"/>
    </row>
    <row r="24" spans="1:8" x14ac:dyDescent="0.2">
      <c r="A24" s="19">
        <v>17</v>
      </c>
      <c r="B24" s="5" t="s">
        <v>32</v>
      </c>
      <c r="C24" s="5" t="s">
        <v>33</v>
      </c>
      <c r="D24" s="25">
        <v>25000</v>
      </c>
      <c r="E24" s="25">
        <v>25000</v>
      </c>
      <c r="F24" s="25">
        <v>25000</v>
      </c>
      <c r="G24" s="26">
        <f t="shared" si="0"/>
        <v>75000</v>
      </c>
      <c r="H24" s="15"/>
    </row>
    <row r="25" spans="1:8" x14ac:dyDescent="0.2">
      <c r="A25" s="19">
        <v>18</v>
      </c>
      <c r="B25" s="5" t="s">
        <v>24</v>
      </c>
      <c r="C25" s="5" t="s">
        <v>25</v>
      </c>
      <c r="D25" s="25">
        <v>25000</v>
      </c>
      <c r="E25" s="25">
        <v>25000</v>
      </c>
      <c r="F25" s="25">
        <v>25000</v>
      </c>
      <c r="G25" s="26">
        <f t="shared" si="0"/>
        <v>75000</v>
      </c>
      <c r="H25" s="15"/>
    </row>
    <row r="26" spans="1:8" x14ac:dyDescent="0.2">
      <c r="A26" s="19">
        <v>19</v>
      </c>
      <c r="B26" s="5" t="s">
        <v>24</v>
      </c>
      <c r="C26" s="5" t="s">
        <v>28</v>
      </c>
      <c r="D26" s="25">
        <v>25000</v>
      </c>
      <c r="E26" s="25">
        <v>25000</v>
      </c>
      <c r="F26" s="25">
        <v>25000</v>
      </c>
      <c r="G26" s="26">
        <f t="shared" si="0"/>
        <v>75000</v>
      </c>
      <c r="H26" s="15"/>
    </row>
    <row r="27" spans="1:8" x14ac:dyDescent="0.2">
      <c r="A27" s="19">
        <v>20</v>
      </c>
      <c r="B27" s="5" t="s">
        <v>24</v>
      </c>
      <c r="C27" s="5" t="s">
        <v>29</v>
      </c>
      <c r="D27" s="25">
        <v>25000</v>
      </c>
      <c r="E27" s="25">
        <v>25000</v>
      </c>
      <c r="F27" s="25">
        <v>25000</v>
      </c>
      <c r="G27" s="26">
        <f t="shared" si="0"/>
        <v>75000</v>
      </c>
      <c r="H27" s="15"/>
    </row>
    <row r="28" spans="1:8" ht="18" x14ac:dyDescent="0.2">
      <c r="A28" s="12"/>
      <c r="C28" s="7" t="s">
        <v>45</v>
      </c>
      <c r="D28" s="24">
        <f>SUM(D8:D27)</f>
        <v>500000</v>
      </c>
      <c r="E28" s="24">
        <f t="shared" ref="E28:G28" si="1">SUM(E8:E27)</f>
        <v>500000</v>
      </c>
      <c r="F28" s="24">
        <f t="shared" si="1"/>
        <v>500000</v>
      </c>
      <c r="G28" s="24">
        <f t="shared" si="1"/>
        <v>1500000</v>
      </c>
      <c r="H28" s="15"/>
    </row>
    <row r="29" spans="1:8" ht="15" thickBot="1" x14ac:dyDescent="0.25">
      <c r="A29" s="20"/>
      <c r="B29" s="21"/>
      <c r="C29" s="21"/>
      <c r="D29" s="22"/>
      <c r="E29" s="22"/>
      <c r="F29" s="22"/>
      <c r="G29" s="21"/>
      <c r="H29" s="23"/>
    </row>
  </sheetData>
  <sortState ref="B8:C27">
    <sortCondition ref="B8:B27"/>
  </sortState>
  <mergeCells count="2">
    <mergeCell ref="B2:E3"/>
    <mergeCell ref="C5:D5"/>
  </mergeCell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tabSelected="1" topLeftCell="A7" zoomScaleNormal="100" workbookViewId="0">
      <selection activeCell="E23" sqref="E23"/>
    </sheetView>
  </sheetViews>
  <sheetFormatPr baseColWidth="10" defaultRowHeight="15" x14ac:dyDescent="0.25"/>
  <cols>
    <col min="1" max="1" width="4.85546875" customWidth="1"/>
    <col min="2" max="2" width="17.85546875" customWidth="1"/>
    <col min="3" max="3" width="25.42578125" customWidth="1"/>
    <col min="4" max="4" width="11.42578125" customWidth="1"/>
    <col min="5" max="5" width="14.5703125" bestFit="1" customWidth="1"/>
    <col min="6" max="6" width="17.28515625" customWidth="1"/>
    <col min="7" max="7" width="15.5703125" customWidth="1"/>
    <col min="8" max="8" width="15.28515625" customWidth="1"/>
    <col min="9" max="9" width="15.28515625" style="35" customWidth="1"/>
    <col min="10" max="10" width="16.28515625" style="35" customWidth="1"/>
    <col min="11" max="11" width="19.140625" customWidth="1"/>
    <col min="12" max="16" width="3.7109375" customWidth="1"/>
    <col min="17" max="17" width="18.28515625" customWidth="1"/>
  </cols>
  <sheetData>
    <row r="1" spans="1:18" x14ac:dyDescent="0.25">
      <c r="A1" s="8"/>
      <c r="B1" s="9"/>
      <c r="C1" s="9"/>
      <c r="D1" s="9"/>
      <c r="E1" s="10"/>
      <c r="F1" s="10"/>
      <c r="G1" s="10"/>
      <c r="H1" s="10"/>
      <c r="I1" s="29"/>
      <c r="J1" s="29"/>
      <c r="K1" s="10"/>
      <c r="L1" s="10"/>
      <c r="M1" s="10"/>
      <c r="N1" s="10"/>
      <c r="O1" s="10"/>
      <c r="P1" s="10"/>
      <c r="Q1" s="9"/>
      <c r="R1" s="11"/>
    </row>
    <row r="2" spans="1:18" ht="22.5" x14ac:dyDescent="0.45">
      <c r="A2" s="12"/>
      <c r="B2" s="54" t="s">
        <v>0</v>
      </c>
      <c r="C2" s="54"/>
      <c r="D2" s="54"/>
      <c r="E2" s="54"/>
      <c r="F2" s="54"/>
      <c r="G2" s="13"/>
      <c r="H2" s="13"/>
      <c r="I2" s="30"/>
      <c r="J2" s="30"/>
      <c r="K2" s="13"/>
      <c r="L2" s="13"/>
      <c r="M2" s="13"/>
      <c r="N2" s="13"/>
      <c r="O2" s="13"/>
      <c r="P2" s="13"/>
      <c r="Q2" s="13"/>
      <c r="R2" s="14"/>
    </row>
    <row r="3" spans="1:18" ht="22.5" x14ac:dyDescent="0.45">
      <c r="A3" s="12"/>
      <c r="B3" s="54"/>
      <c r="C3" s="54"/>
      <c r="D3" s="54"/>
      <c r="E3" s="54"/>
      <c r="F3" s="54"/>
      <c r="G3" s="13"/>
      <c r="H3" s="13"/>
      <c r="I3" s="30"/>
      <c r="J3" s="30"/>
      <c r="K3" s="13"/>
      <c r="L3" s="13"/>
      <c r="M3" s="13"/>
      <c r="N3" s="13"/>
      <c r="O3" s="13"/>
      <c r="P3" s="13"/>
      <c r="Q3" s="13"/>
      <c r="R3" s="14"/>
    </row>
    <row r="4" spans="1:18" x14ac:dyDescent="0.25">
      <c r="A4" s="12"/>
      <c r="B4" s="1"/>
      <c r="C4" s="1"/>
      <c r="D4" s="1"/>
      <c r="E4" s="2"/>
      <c r="F4" s="2"/>
      <c r="G4" s="2"/>
      <c r="H4" s="2"/>
      <c r="I4" s="31"/>
      <c r="J4" s="31"/>
      <c r="K4" s="2"/>
      <c r="L4" s="2"/>
      <c r="M4" s="2"/>
      <c r="N4" s="2"/>
      <c r="O4" s="2"/>
      <c r="P4" s="2"/>
      <c r="Q4" s="1"/>
      <c r="R4" s="15"/>
    </row>
    <row r="5" spans="1:18" ht="27.75" x14ac:dyDescent="0.25">
      <c r="A5" s="12"/>
      <c r="B5" s="1"/>
      <c r="C5" s="55" t="s">
        <v>1</v>
      </c>
      <c r="D5" s="55"/>
      <c r="E5" s="55"/>
      <c r="F5" s="16"/>
      <c r="G5" s="16"/>
      <c r="H5" s="16"/>
      <c r="I5" s="32"/>
      <c r="J5" s="32"/>
      <c r="K5" s="16"/>
      <c r="L5" s="16"/>
      <c r="M5" s="16"/>
      <c r="N5" s="16"/>
      <c r="O5" s="16"/>
      <c r="P5" s="16"/>
      <c r="Q5" s="16"/>
      <c r="R5" s="15"/>
    </row>
    <row r="6" spans="1:18" x14ac:dyDescent="0.25">
      <c r="A6" s="12"/>
      <c r="B6" s="1"/>
      <c r="C6" s="1"/>
      <c r="D6" s="1"/>
      <c r="E6" s="2"/>
      <c r="F6" s="2"/>
      <c r="G6" s="2"/>
      <c r="H6" s="2"/>
      <c r="I6" s="31"/>
      <c r="J6" s="31"/>
      <c r="K6" s="2"/>
      <c r="L6" s="2"/>
      <c r="M6" s="2"/>
      <c r="N6" s="2"/>
      <c r="O6" s="2"/>
      <c r="P6" s="2"/>
      <c r="Q6" s="1"/>
      <c r="R6" s="15"/>
    </row>
    <row r="7" spans="1:18" ht="15.75" x14ac:dyDescent="0.25">
      <c r="A7" s="17" t="s">
        <v>2</v>
      </c>
      <c r="B7" s="4" t="s">
        <v>3</v>
      </c>
      <c r="C7" s="4" t="s">
        <v>4</v>
      </c>
      <c r="D7" s="4" t="s">
        <v>59</v>
      </c>
      <c r="E7" s="4" t="s">
        <v>46</v>
      </c>
      <c r="F7" s="4" t="s">
        <v>47</v>
      </c>
      <c r="G7" s="4" t="s">
        <v>48</v>
      </c>
      <c r="H7" s="4" t="s">
        <v>49</v>
      </c>
      <c r="I7" s="33" t="s">
        <v>50</v>
      </c>
      <c r="J7" s="33" t="s">
        <v>51</v>
      </c>
      <c r="K7" s="4" t="s">
        <v>52</v>
      </c>
      <c r="L7" s="4" t="s">
        <v>53</v>
      </c>
      <c r="M7" s="4" t="s">
        <v>54</v>
      </c>
      <c r="N7" s="4" t="s">
        <v>5</v>
      </c>
      <c r="O7" s="4" t="s">
        <v>6</v>
      </c>
      <c r="P7" s="4" t="s">
        <v>55</v>
      </c>
      <c r="Q7" s="4" t="s">
        <v>45</v>
      </c>
      <c r="R7" s="18"/>
    </row>
    <row r="8" spans="1:18" x14ac:dyDescent="0.25">
      <c r="A8" s="19">
        <v>1</v>
      </c>
      <c r="B8" s="5" t="s">
        <v>18</v>
      </c>
      <c r="C8" s="5" t="s">
        <v>19</v>
      </c>
      <c r="D8" s="5">
        <v>1</v>
      </c>
      <c r="E8" s="25">
        <v>25000</v>
      </c>
      <c r="F8" s="25">
        <v>25000</v>
      </c>
      <c r="G8" s="25">
        <v>25000</v>
      </c>
      <c r="H8" s="25">
        <v>25000</v>
      </c>
      <c r="I8" s="25">
        <v>25000</v>
      </c>
      <c r="J8" s="44">
        <v>25000</v>
      </c>
      <c r="K8" s="46"/>
      <c r="L8" s="6"/>
      <c r="M8" s="6"/>
      <c r="N8" s="6"/>
      <c r="O8" s="6"/>
      <c r="P8" s="6"/>
      <c r="Q8" s="26">
        <f>SUM(E8:P8)</f>
        <v>150000</v>
      </c>
      <c r="R8" s="15"/>
    </row>
    <row r="9" spans="1:18" x14ac:dyDescent="0.25">
      <c r="A9" s="19">
        <v>2</v>
      </c>
      <c r="B9" s="5" t="s">
        <v>14</v>
      </c>
      <c r="C9" s="5" t="s">
        <v>15</v>
      </c>
      <c r="D9" s="5">
        <v>1</v>
      </c>
      <c r="E9" s="25">
        <v>25000</v>
      </c>
      <c r="F9" s="25">
        <v>25000</v>
      </c>
      <c r="G9" s="25">
        <v>25000</v>
      </c>
      <c r="H9" s="25">
        <v>25000</v>
      </c>
      <c r="I9" s="25">
        <v>25000</v>
      </c>
      <c r="J9" s="25">
        <v>25000</v>
      </c>
      <c r="K9" s="52"/>
      <c r="L9" s="6"/>
      <c r="M9" s="6"/>
      <c r="N9" s="6"/>
      <c r="O9" s="6"/>
      <c r="P9" s="6"/>
      <c r="Q9" s="26">
        <f t="shared" ref="Q9:Q27" si="0">SUM(E9:P9)</f>
        <v>150000</v>
      </c>
      <c r="R9" s="15"/>
    </row>
    <row r="10" spans="1:18" x14ac:dyDescent="0.25">
      <c r="A10" s="19">
        <v>3</v>
      </c>
      <c r="B10" s="5" t="s">
        <v>43</v>
      </c>
      <c r="C10" s="5" t="s">
        <v>44</v>
      </c>
      <c r="D10" s="5">
        <v>2</v>
      </c>
      <c r="E10" s="25">
        <v>25000</v>
      </c>
      <c r="F10" s="25">
        <v>25000</v>
      </c>
      <c r="G10" s="25">
        <v>25000</v>
      </c>
      <c r="H10" s="25">
        <v>25000</v>
      </c>
      <c r="I10" s="25">
        <v>25000</v>
      </c>
      <c r="J10" s="44"/>
      <c r="K10" s="46"/>
      <c r="L10" s="6"/>
      <c r="M10" s="6"/>
      <c r="N10" s="6"/>
      <c r="O10" s="6"/>
      <c r="P10" s="6"/>
      <c r="Q10" s="26">
        <f t="shared" si="0"/>
        <v>125000</v>
      </c>
      <c r="R10" s="15"/>
    </row>
    <row r="11" spans="1:18" x14ac:dyDescent="0.25">
      <c r="A11" s="42">
        <v>4</v>
      </c>
      <c r="B11" s="5" t="s">
        <v>30</v>
      </c>
      <c r="C11" s="5" t="s">
        <v>31</v>
      </c>
      <c r="D11" s="5">
        <v>1</v>
      </c>
      <c r="E11" s="25">
        <v>25000</v>
      </c>
      <c r="F11" s="25">
        <v>25000</v>
      </c>
      <c r="G11" s="25">
        <v>25000</v>
      </c>
      <c r="H11" s="25">
        <v>25000</v>
      </c>
      <c r="I11" s="25">
        <v>25000</v>
      </c>
      <c r="J11" s="25">
        <v>25000</v>
      </c>
      <c r="K11" s="52"/>
      <c r="L11" s="6"/>
      <c r="M11" s="6"/>
      <c r="N11" s="6"/>
      <c r="O11" s="6"/>
      <c r="P11" s="6"/>
      <c r="Q11" s="26">
        <f t="shared" si="0"/>
        <v>150000</v>
      </c>
      <c r="R11" s="15"/>
    </row>
    <row r="12" spans="1:18" s="39" customFormat="1" x14ac:dyDescent="0.25">
      <c r="A12" s="43">
        <v>5</v>
      </c>
      <c r="B12" s="40" t="s">
        <v>26</v>
      </c>
      <c r="C12" s="40" t="s">
        <v>27</v>
      </c>
      <c r="D12" s="40"/>
      <c r="E12" s="41">
        <v>25000</v>
      </c>
      <c r="F12" s="41">
        <v>25000</v>
      </c>
      <c r="G12" s="41">
        <v>25000</v>
      </c>
      <c r="H12" s="25">
        <v>25000</v>
      </c>
      <c r="I12" s="25">
        <v>25000</v>
      </c>
      <c r="J12" s="25">
        <v>25000</v>
      </c>
      <c r="K12" s="47">
        <v>25000</v>
      </c>
      <c r="L12" s="36"/>
      <c r="M12" s="36"/>
      <c r="N12" s="36"/>
      <c r="O12" s="36"/>
      <c r="P12" s="36"/>
      <c r="Q12" s="37">
        <f t="shared" si="0"/>
        <v>175000</v>
      </c>
      <c r="R12" s="38"/>
    </row>
    <row r="13" spans="1:18" x14ac:dyDescent="0.25">
      <c r="A13" s="19">
        <v>6</v>
      </c>
      <c r="B13" s="5" t="s">
        <v>16</v>
      </c>
      <c r="C13" s="5" t="s">
        <v>17</v>
      </c>
      <c r="D13" s="5">
        <v>1</v>
      </c>
      <c r="E13" s="25">
        <v>25000</v>
      </c>
      <c r="F13" s="25">
        <v>25000</v>
      </c>
      <c r="G13" s="25">
        <v>25000</v>
      </c>
      <c r="H13" s="25">
        <v>25000</v>
      </c>
      <c r="I13" s="45">
        <v>25000</v>
      </c>
      <c r="J13" s="44">
        <v>25000</v>
      </c>
      <c r="K13" s="46"/>
      <c r="L13" s="6"/>
      <c r="M13" s="6"/>
      <c r="N13" s="6"/>
      <c r="O13" s="6"/>
      <c r="P13" s="6"/>
      <c r="Q13" s="26">
        <f t="shared" si="0"/>
        <v>150000</v>
      </c>
      <c r="R13" s="15"/>
    </row>
    <row r="14" spans="1:18" x14ac:dyDescent="0.25">
      <c r="A14" s="19">
        <v>7</v>
      </c>
      <c r="B14" s="5" t="s">
        <v>38</v>
      </c>
      <c r="C14" s="5" t="s">
        <v>39</v>
      </c>
      <c r="D14" s="5">
        <v>2</v>
      </c>
      <c r="E14" s="25">
        <v>25000</v>
      </c>
      <c r="F14" s="25">
        <v>25000</v>
      </c>
      <c r="G14" s="25">
        <v>25000</v>
      </c>
      <c r="H14" s="25">
        <v>25000</v>
      </c>
      <c r="I14" s="50">
        <v>25000</v>
      </c>
      <c r="J14" s="50"/>
      <c r="K14" s="51"/>
      <c r="L14" s="6"/>
      <c r="M14" s="6"/>
      <c r="N14" s="6"/>
      <c r="O14" s="6"/>
      <c r="P14" s="6"/>
      <c r="Q14" s="26">
        <f t="shared" si="0"/>
        <v>125000</v>
      </c>
      <c r="R14" s="15"/>
    </row>
    <row r="15" spans="1:18" x14ac:dyDescent="0.25">
      <c r="A15" s="19">
        <v>8</v>
      </c>
      <c r="B15" s="5" t="s">
        <v>22</v>
      </c>
      <c r="C15" s="5" t="s">
        <v>23</v>
      </c>
      <c r="D15" s="5"/>
      <c r="E15" s="25">
        <v>25000</v>
      </c>
      <c r="F15" s="25">
        <v>25000</v>
      </c>
      <c r="G15" s="25">
        <v>25000</v>
      </c>
      <c r="H15" s="25">
        <v>25000</v>
      </c>
      <c r="I15" s="41">
        <v>25000</v>
      </c>
      <c r="J15" s="44">
        <v>25000</v>
      </c>
      <c r="K15" s="46">
        <v>25000</v>
      </c>
      <c r="L15" s="6"/>
      <c r="M15" s="6"/>
      <c r="N15" s="6"/>
      <c r="O15" s="6"/>
      <c r="P15" s="6"/>
      <c r="Q15" s="26">
        <f t="shared" si="0"/>
        <v>175000</v>
      </c>
      <c r="R15" s="15"/>
    </row>
    <row r="16" spans="1:18" x14ac:dyDescent="0.25">
      <c r="A16" s="19">
        <v>9</v>
      </c>
      <c r="B16" s="5" t="s">
        <v>8</v>
      </c>
      <c r="C16" s="5" t="s">
        <v>9</v>
      </c>
      <c r="D16" s="5">
        <v>1</v>
      </c>
      <c r="E16" s="25">
        <v>25000</v>
      </c>
      <c r="F16" s="25">
        <v>25000</v>
      </c>
      <c r="G16" s="25">
        <v>25000</v>
      </c>
      <c r="H16" s="25">
        <v>25000</v>
      </c>
      <c r="I16" s="25">
        <v>25000</v>
      </c>
      <c r="J16" s="41">
        <v>25000</v>
      </c>
      <c r="K16" s="52"/>
      <c r="L16" s="6"/>
      <c r="M16" s="6"/>
      <c r="N16" s="6"/>
      <c r="O16" s="6"/>
      <c r="P16" s="6"/>
      <c r="Q16" s="26">
        <f t="shared" si="0"/>
        <v>150000</v>
      </c>
      <c r="R16" s="15"/>
    </row>
    <row r="17" spans="1:18" x14ac:dyDescent="0.25">
      <c r="A17" s="19">
        <v>10</v>
      </c>
      <c r="B17" s="5" t="s">
        <v>40</v>
      </c>
      <c r="C17" s="5" t="s">
        <v>41</v>
      </c>
      <c r="D17" s="5">
        <v>4</v>
      </c>
      <c r="E17" s="25">
        <v>25000</v>
      </c>
      <c r="F17" s="25">
        <v>25000</v>
      </c>
      <c r="G17" s="25">
        <v>25000</v>
      </c>
      <c r="H17" s="48"/>
      <c r="I17" s="48"/>
      <c r="J17" s="48"/>
      <c r="K17" s="49"/>
      <c r="L17" s="6"/>
      <c r="M17" s="6"/>
      <c r="N17" s="6"/>
      <c r="O17" s="6"/>
      <c r="P17" s="6"/>
      <c r="Q17" s="26">
        <f t="shared" si="0"/>
        <v>75000</v>
      </c>
      <c r="R17" s="15"/>
    </row>
    <row r="18" spans="1:18" x14ac:dyDescent="0.25">
      <c r="A18" s="19">
        <v>11</v>
      </c>
      <c r="B18" s="5" t="s">
        <v>12</v>
      </c>
      <c r="C18" s="5" t="s">
        <v>13</v>
      </c>
      <c r="D18" s="5">
        <v>1</v>
      </c>
      <c r="E18" s="25">
        <v>25000</v>
      </c>
      <c r="F18" s="25">
        <v>25000</v>
      </c>
      <c r="G18" s="25">
        <v>25000</v>
      </c>
      <c r="H18" s="25">
        <v>25000</v>
      </c>
      <c r="I18" s="25">
        <v>25000</v>
      </c>
      <c r="J18" s="45">
        <v>25000</v>
      </c>
      <c r="K18" s="52"/>
      <c r="L18" s="6"/>
      <c r="M18" s="6"/>
      <c r="N18" s="6"/>
      <c r="O18" s="6"/>
      <c r="P18" s="6"/>
      <c r="Q18" s="26">
        <f t="shared" si="0"/>
        <v>150000</v>
      </c>
      <c r="R18" s="15"/>
    </row>
    <row r="19" spans="1:18" x14ac:dyDescent="0.25">
      <c r="A19" s="19">
        <v>12</v>
      </c>
      <c r="B19" s="5" t="s">
        <v>20</v>
      </c>
      <c r="C19" s="5" t="s">
        <v>21</v>
      </c>
      <c r="D19" s="5">
        <v>2</v>
      </c>
      <c r="E19" s="25">
        <v>25000</v>
      </c>
      <c r="F19" s="25">
        <v>25000</v>
      </c>
      <c r="G19" s="25">
        <v>25000</v>
      </c>
      <c r="H19" s="25">
        <v>25000</v>
      </c>
      <c r="I19" s="25">
        <v>25000</v>
      </c>
      <c r="J19" s="44"/>
      <c r="K19" s="46"/>
      <c r="L19" s="6"/>
      <c r="M19" s="6"/>
      <c r="N19" s="6"/>
      <c r="O19" s="6"/>
      <c r="P19" s="6"/>
      <c r="Q19" s="26">
        <f t="shared" si="0"/>
        <v>125000</v>
      </c>
      <c r="R19" s="15"/>
    </row>
    <row r="20" spans="1:18" x14ac:dyDescent="0.25">
      <c r="A20" s="19">
        <v>13</v>
      </c>
      <c r="B20" s="5" t="s">
        <v>10</v>
      </c>
      <c r="C20" s="5" t="s">
        <v>11</v>
      </c>
      <c r="D20" s="5">
        <v>1</v>
      </c>
      <c r="E20" s="25">
        <v>25000</v>
      </c>
      <c r="F20" s="25">
        <v>25000</v>
      </c>
      <c r="G20" s="25">
        <v>25000</v>
      </c>
      <c r="H20" s="25">
        <v>25000</v>
      </c>
      <c r="I20" s="25">
        <v>25000</v>
      </c>
      <c r="J20" s="41">
        <v>25000</v>
      </c>
      <c r="K20" s="52"/>
      <c r="L20" s="6"/>
      <c r="M20" s="6"/>
      <c r="N20" s="6"/>
      <c r="O20" s="6"/>
      <c r="P20" s="6"/>
      <c r="Q20" s="26">
        <f t="shared" si="0"/>
        <v>150000</v>
      </c>
      <c r="R20" s="15"/>
    </row>
    <row r="21" spans="1:18" x14ac:dyDescent="0.25">
      <c r="A21" s="19">
        <v>14</v>
      </c>
      <c r="B21" s="5" t="s">
        <v>10</v>
      </c>
      <c r="C21" s="5" t="s">
        <v>42</v>
      </c>
      <c r="D21" s="5">
        <v>1</v>
      </c>
      <c r="E21" s="25">
        <v>25000</v>
      </c>
      <c r="F21" s="25">
        <v>25000</v>
      </c>
      <c r="G21" s="25">
        <v>25000</v>
      </c>
      <c r="H21" s="25">
        <v>25000</v>
      </c>
      <c r="I21" s="25">
        <v>25000</v>
      </c>
      <c r="J21" s="45">
        <v>25000</v>
      </c>
      <c r="K21" s="52"/>
      <c r="L21" s="6"/>
      <c r="M21" s="6"/>
      <c r="N21" s="6"/>
      <c r="O21" s="6"/>
      <c r="P21" s="6"/>
      <c r="Q21" s="26">
        <f t="shared" si="0"/>
        <v>150000</v>
      </c>
      <c r="R21" s="15"/>
    </row>
    <row r="22" spans="1:18" x14ac:dyDescent="0.25">
      <c r="A22" s="19">
        <v>15</v>
      </c>
      <c r="B22" s="5" t="s">
        <v>36</v>
      </c>
      <c r="C22" s="5" t="s">
        <v>37</v>
      </c>
      <c r="D22" s="5">
        <v>2</v>
      </c>
      <c r="E22" s="25">
        <v>25000</v>
      </c>
      <c r="F22" s="25">
        <v>25000</v>
      </c>
      <c r="G22" s="25">
        <v>25000</v>
      </c>
      <c r="H22" s="25">
        <v>25000</v>
      </c>
      <c r="I22" s="45">
        <v>25000</v>
      </c>
      <c r="J22" s="44"/>
      <c r="K22" s="46"/>
      <c r="L22" s="6"/>
      <c r="M22" s="6"/>
      <c r="N22" s="6"/>
      <c r="O22" s="6"/>
      <c r="P22" s="6"/>
      <c r="Q22" s="26">
        <f t="shared" si="0"/>
        <v>125000</v>
      </c>
      <c r="R22" s="15"/>
    </row>
    <row r="23" spans="1:18" s="39" customFormat="1" x14ac:dyDescent="0.25">
      <c r="A23" s="43">
        <v>16</v>
      </c>
      <c r="B23" s="40" t="s">
        <v>34</v>
      </c>
      <c r="C23" s="40" t="s">
        <v>58</v>
      </c>
      <c r="D23" s="40"/>
      <c r="E23" s="41">
        <v>25000</v>
      </c>
      <c r="F23" s="41">
        <v>25000</v>
      </c>
      <c r="G23" s="41">
        <v>25000</v>
      </c>
      <c r="H23" s="41">
        <v>25000</v>
      </c>
      <c r="I23" s="25">
        <v>25000</v>
      </c>
      <c r="J23" s="41">
        <v>25000</v>
      </c>
      <c r="K23" s="47">
        <v>25000</v>
      </c>
      <c r="L23" s="36"/>
      <c r="M23" s="36"/>
      <c r="N23" s="36"/>
      <c r="O23" s="36"/>
      <c r="P23" s="36"/>
      <c r="Q23" s="37">
        <f t="shared" si="0"/>
        <v>175000</v>
      </c>
      <c r="R23" s="38"/>
    </row>
    <row r="24" spans="1:18" s="39" customFormat="1" x14ac:dyDescent="0.25">
      <c r="A24" s="43">
        <v>17</v>
      </c>
      <c r="B24" s="40" t="s">
        <v>32</v>
      </c>
      <c r="C24" s="40" t="s">
        <v>33</v>
      </c>
      <c r="D24" s="40"/>
      <c r="E24" s="41">
        <v>25000</v>
      </c>
      <c r="F24" s="41">
        <v>25000</v>
      </c>
      <c r="G24" s="41">
        <v>25000</v>
      </c>
      <c r="H24" s="41">
        <v>25000</v>
      </c>
      <c r="I24" s="25">
        <v>25000</v>
      </c>
      <c r="J24" s="25">
        <v>25000</v>
      </c>
      <c r="K24" s="47">
        <v>25000</v>
      </c>
      <c r="L24" s="36"/>
      <c r="M24" s="36"/>
      <c r="N24" s="36"/>
      <c r="O24" s="36"/>
      <c r="P24" s="36"/>
      <c r="Q24" s="37">
        <f t="shared" si="0"/>
        <v>175000</v>
      </c>
      <c r="R24" s="38"/>
    </row>
    <row r="25" spans="1:18" s="39" customFormat="1" x14ac:dyDescent="0.25">
      <c r="A25" s="43">
        <v>18</v>
      </c>
      <c r="B25" s="40" t="s">
        <v>24</v>
      </c>
      <c r="C25" s="40" t="s">
        <v>25</v>
      </c>
      <c r="D25" s="40"/>
      <c r="E25" s="41">
        <v>25000</v>
      </c>
      <c r="F25" s="41">
        <v>25000</v>
      </c>
      <c r="G25" s="41">
        <v>25000</v>
      </c>
      <c r="H25" s="41">
        <v>25000</v>
      </c>
      <c r="I25" s="25">
        <v>25000</v>
      </c>
      <c r="J25" s="25">
        <v>25000</v>
      </c>
      <c r="K25" s="47">
        <v>25000</v>
      </c>
      <c r="L25" s="36"/>
      <c r="M25" s="36"/>
      <c r="N25" s="36"/>
      <c r="O25" s="36"/>
      <c r="P25" s="36"/>
      <c r="Q25" s="37">
        <f t="shared" si="0"/>
        <v>175000</v>
      </c>
      <c r="R25" s="38"/>
    </row>
    <row r="26" spans="1:18" s="39" customFormat="1" x14ac:dyDescent="0.25">
      <c r="A26" s="43">
        <v>19</v>
      </c>
      <c r="B26" s="40" t="s">
        <v>24</v>
      </c>
      <c r="C26" s="40" t="s">
        <v>28</v>
      </c>
      <c r="D26" s="40"/>
      <c r="E26" s="41">
        <v>25000</v>
      </c>
      <c r="F26" s="41">
        <v>25000</v>
      </c>
      <c r="G26" s="41">
        <v>25000</v>
      </c>
      <c r="H26" s="41">
        <v>25000</v>
      </c>
      <c r="I26" s="25">
        <v>25000</v>
      </c>
      <c r="J26" s="25">
        <v>25000</v>
      </c>
      <c r="K26" s="47">
        <v>25000</v>
      </c>
      <c r="L26" s="36"/>
      <c r="M26" s="36"/>
      <c r="N26" s="36"/>
      <c r="O26" s="36"/>
      <c r="P26" s="36"/>
      <c r="Q26" s="37">
        <f t="shared" si="0"/>
        <v>175000</v>
      </c>
      <c r="R26" s="38"/>
    </row>
    <row r="27" spans="1:18" s="39" customFormat="1" x14ac:dyDescent="0.25">
      <c r="A27" s="43">
        <v>20</v>
      </c>
      <c r="B27" s="40" t="s">
        <v>24</v>
      </c>
      <c r="C27" s="40" t="s">
        <v>29</v>
      </c>
      <c r="D27" s="40"/>
      <c r="E27" s="41">
        <v>25000</v>
      </c>
      <c r="F27" s="41">
        <v>25000</v>
      </c>
      <c r="G27" s="41">
        <v>25000</v>
      </c>
      <c r="H27" s="41">
        <v>25000</v>
      </c>
      <c r="I27" s="25">
        <v>25000</v>
      </c>
      <c r="J27" s="41">
        <v>25000</v>
      </c>
      <c r="K27" s="47">
        <v>25000</v>
      </c>
      <c r="L27" s="36"/>
      <c r="M27" s="36"/>
      <c r="N27" s="36"/>
      <c r="O27" s="36"/>
      <c r="P27" s="36"/>
      <c r="Q27" s="37">
        <f t="shared" si="0"/>
        <v>175000</v>
      </c>
      <c r="R27" s="38"/>
    </row>
    <row r="28" spans="1:18" ht="18" x14ac:dyDescent="0.25">
      <c r="A28" s="12"/>
      <c r="B28" s="1"/>
      <c r="C28" s="7" t="s">
        <v>45</v>
      </c>
      <c r="D28" s="7"/>
      <c r="E28" s="24">
        <f>SUM(E8:E27)</f>
        <v>500000</v>
      </c>
      <c r="F28" s="24">
        <f t="shared" ref="F28:Q28" si="1">SUM(F8:F27)</f>
        <v>500000</v>
      </c>
      <c r="G28" s="24">
        <f t="shared" si="1"/>
        <v>500000</v>
      </c>
      <c r="H28" s="24">
        <f t="shared" si="1"/>
        <v>475000</v>
      </c>
      <c r="I28" s="24">
        <f t="shared" si="1"/>
        <v>475000</v>
      </c>
      <c r="J28" s="24">
        <f t="shared" si="1"/>
        <v>375000</v>
      </c>
      <c r="K28" s="24">
        <f t="shared" si="1"/>
        <v>175000</v>
      </c>
      <c r="L28" s="24">
        <f t="shared" si="1"/>
        <v>0</v>
      </c>
      <c r="M28" s="24">
        <f t="shared" si="1"/>
        <v>0</v>
      </c>
      <c r="N28" s="24">
        <f t="shared" si="1"/>
        <v>0</v>
      </c>
      <c r="O28" s="24">
        <f t="shared" si="1"/>
        <v>0</v>
      </c>
      <c r="P28" s="24">
        <f t="shared" si="1"/>
        <v>0</v>
      </c>
      <c r="Q28" s="24">
        <f t="shared" si="1"/>
        <v>3000000</v>
      </c>
      <c r="R28" s="15"/>
    </row>
    <row r="29" spans="1:18" ht="15.75" thickBot="1" x14ac:dyDescent="0.3">
      <c r="A29" s="20"/>
      <c r="B29" s="21"/>
      <c r="C29" s="21"/>
      <c r="D29" s="21"/>
      <c r="E29" s="22"/>
      <c r="F29" s="22"/>
      <c r="G29" s="22"/>
      <c r="H29" s="22"/>
      <c r="I29" s="34"/>
      <c r="J29" s="34"/>
      <c r="K29" s="22"/>
      <c r="L29" s="22"/>
      <c r="M29" s="22"/>
      <c r="N29" s="22"/>
      <c r="O29" s="22"/>
      <c r="P29" s="22"/>
      <c r="Q29" s="21"/>
      <c r="R29" s="23"/>
    </row>
    <row r="30" spans="1:18" ht="15.75" thickBot="1" x14ac:dyDescent="0.3"/>
    <row r="31" spans="1:18" ht="19.5" x14ac:dyDescent="0.4">
      <c r="B31" s="27" t="s">
        <v>56</v>
      </c>
      <c r="C31" s="28">
        <v>1500000</v>
      </c>
      <c r="D31" s="53"/>
      <c r="F31" s="61" t="s">
        <v>57</v>
      </c>
      <c r="G31" s="56">
        <f>(C31+Q28)</f>
        <v>4500000</v>
      </c>
      <c r="H31" s="57"/>
      <c r="I31" s="58"/>
    </row>
    <row r="32" spans="1:18" ht="15.75" thickBot="1" x14ac:dyDescent="0.3">
      <c r="F32" s="62"/>
      <c r="G32" s="59"/>
      <c r="H32" s="59"/>
      <c r="I32" s="60"/>
    </row>
  </sheetData>
  <mergeCells count="4">
    <mergeCell ref="B2:F3"/>
    <mergeCell ref="C5:E5"/>
    <mergeCell ref="G31:I32"/>
    <mergeCell ref="F31:F32"/>
  </mergeCells>
  <pageMargins left="0.7" right="0.7" top="0.75" bottom="0.75" header="0.3" footer="0.3"/>
  <pageSetup paperSize="9" scale="60" orientation="landscape" horizontalDpi="300" verticalDpi="300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2024</vt:lpstr>
      <vt:lpstr>2025</vt:lpstr>
      <vt:lpstr>'2025'!Zone_d_impression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BALLO-INFORMATIQUE</dc:creator>
  <cp:lastModifiedBy>BALLO-INFORMATIQUE</cp:lastModifiedBy>
  <cp:lastPrinted>2025-07-04T14:14:12Z</cp:lastPrinted>
  <dcterms:created xsi:type="dcterms:W3CDTF">2025-05-17T09:20:07Z</dcterms:created>
  <dcterms:modified xsi:type="dcterms:W3CDTF">2025-08-29T15:48:13Z</dcterms:modified>
</cp:coreProperties>
</file>